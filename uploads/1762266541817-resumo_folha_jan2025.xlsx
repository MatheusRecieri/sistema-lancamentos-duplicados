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Folha Jan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<sst xmlns="http://schemas.openxmlformats.org/spreadsheetml/2006/main" count="115" uniqueCount="108">
  <si>
    <t xml:space="preserve">MELLO TRANSPORTES DISTRIBUICAO E ARMAZENAGEM LTDA</t>
  </si>
  <si>
    <t xml:space="preserve">CNPJ: 04.108.923/0003-84</t>
  </si>
  <si>
    <t xml:space="preserve">Período: 01/01/2025 a 31/01/2025</t>
  </si>
  <si>
    <t xml:space="preserve">Emissão: 17:56 17/04/2025</t>
  </si>
  <si>
    <t xml:space="preserve">RESUMO GERAL - FOLHA DE PAGAMENTO</t>
  </si>
  <si>
    <t xml:space="preserve">VALORES PAGOS AOS FUNCIONÁRIOS</t>
  </si>
  <si>
    <t xml:space="preserve">Cód.</t>
  </si>
  <si>
    <t xml:space="preserve">Descrição</t>
  </si>
  <si>
    <t xml:space="preserve">Ativos</t>
  </si>
  <si>
    <t xml:space="preserve">Demitidos</t>
  </si>
  <si>
    <t xml:space="preserve">Afastados</t>
  </si>
  <si>
    <t xml:space="preserve">Total</t>
  </si>
  <si>
    <t xml:space="preserve">001</t>
  </si>
  <si>
    <t xml:space="preserve">Salário Base</t>
  </si>
  <si>
    <t xml:space="preserve">020</t>
  </si>
  <si>
    <t xml:space="preserve">Periculosidade 30%</t>
  </si>
  <si>
    <t xml:space="preserve">028</t>
  </si>
  <si>
    <t xml:space="preserve">Adicional Noturno 20%</t>
  </si>
  <si>
    <t xml:space="preserve">036</t>
  </si>
  <si>
    <t xml:space="preserve">DSR S/ Adicional Noturno</t>
  </si>
  <si>
    <t xml:space="preserve">068</t>
  </si>
  <si>
    <t xml:space="preserve">Diárias de Viagem Próximo Mês</t>
  </si>
  <si>
    <t xml:space="preserve">401</t>
  </si>
  <si>
    <t xml:space="preserve">Hora Extra 50%</t>
  </si>
  <si>
    <t xml:space="preserve">406</t>
  </si>
  <si>
    <t xml:space="preserve">Adiantamento Salarial</t>
  </si>
  <si>
    <t xml:space="preserve">415</t>
  </si>
  <si>
    <t xml:space="preserve">Hora extra not 50%</t>
  </si>
  <si>
    <t xml:space="preserve">416</t>
  </si>
  <si>
    <t xml:space="preserve">DSR S/ Hora Extra Noturna</t>
  </si>
  <si>
    <t xml:space="preserve">424</t>
  </si>
  <si>
    <t xml:space="preserve">DSR s/Horas Extras</t>
  </si>
  <si>
    <t xml:space="preserve">TOTAL DE ADICIONAIS</t>
  </si>
  <si>
    <t xml:space="preserve">399</t>
  </si>
  <si>
    <t xml:space="preserve">Desc Faltas (Hrs/Atrasos)</t>
  </si>
  <si>
    <t xml:space="preserve">604</t>
  </si>
  <si>
    <t xml:space="preserve">Desc Vale Transporte</t>
  </si>
  <si>
    <t xml:space="preserve">606</t>
  </si>
  <si>
    <t xml:space="preserve">Adiantamento</t>
  </si>
  <si>
    <t xml:space="preserve">656</t>
  </si>
  <si>
    <t xml:space="preserve">Desc Plano Odontológico</t>
  </si>
  <si>
    <t xml:space="preserve">687</t>
  </si>
  <si>
    <t xml:space="preserve">Desconto Odontologico Dependente</t>
  </si>
  <si>
    <t xml:space="preserve">702</t>
  </si>
  <si>
    <t xml:space="preserve">Desc Vale Combustivel</t>
  </si>
  <si>
    <t xml:space="preserve">903</t>
  </si>
  <si>
    <t xml:space="preserve">INSS Folha</t>
  </si>
  <si>
    <t xml:space="preserve">914</t>
  </si>
  <si>
    <t xml:space="preserve">IRRF Folha</t>
  </si>
  <si>
    <t xml:space="preserve">TOTAL DE DESCONTOS</t>
  </si>
  <si>
    <t xml:space="preserve">TOTAL LÍQUIDO A PAGAR - FUNCIONÁRIOS</t>
  </si>
  <si>
    <t xml:space="preserve">TOTAL DE FUNCIONÁRIOS</t>
  </si>
  <si>
    <t xml:space="preserve">VALORES PAGOS AOS SÓCIOS / AUTÔNOMOS</t>
  </si>
  <si>
    <t xml:space="preserve">Valores Sócios</t>
  </si>
  <si>
    <t xml:space="preserve">Valores Autônomos</t>
  </si>
  <si>
    <t xml:space="preserve">002</t>
  </si>
  <si>
    <t xml:space="preserve">REMUNERAÇÃO AUTONOMO</t>
  </si>
  <si>
    <t xml:space="preserve">013</t>
  </si>
  <si>
    <t xml:space="preserve">INSS</t>
  </si>
  <si>
    <t xml:space="preserve">015</t>
  </si>
  <si>
    <t xml:space="preserve">CONTRIB. SEST/SENAT</t>
  </si>
  <si>
    <t xml:space="preserve">TOTAL LÍQUIDO A PAGAR - AUTÔNOMOS</t>
  </si>
  <si>
    <t xml:space="preserve">TOTAL DE SÓCIOS / AUTÔNOMOS</t>
  </si>
  <si>
    <t xml:space="preserve">OUTRAS INFORMAÇÕES</t>
  </si>
  <si>
    <t xml:space="preserve">GPS - INSS</t>
  </si>
  <si>
    <t xml:space="preserve">Empregados</t>
  </si>
  <si>
    <t xml:space="preserve">Empresa Funcionários</t>
  </si>
  <si>
    <t xml:space="preserve">Cooperativas</t>
  </si>
  <si>
    <t xml:space="preserve">RAT Emp</t>
  </si>
  <si>
    <t xml:space="preserve">Terceiros</t>
  </si>
  <si>
    <t xml:space="preserve">Sócios</t>
  </si>
  <si>
    <t xml:space="preserve">Autônomos</t>
  </si>
  <si>
    <t xml:space="preserve">Deduções de FPAS</t>
  </si>
  <si>
    <t xml:space="preserve">Sub-Total</t>
  </si>
  <si>
    <t xml:space="preserve">Valor Retido</t>
  </si>
  <si>
    <t xml:space="preserve">Total Líquido</t>
  </si>
  <si>
    <t xml:space="preserve">FGTS</t>
  </si>
  <si>
    <t xml:space="preserve">FGTS sem 13º salário s/CS</t>
  </si>
  <si>
    <t xml:space="preserve">FGTS sobre 13º salário s/CS</t>
  </si>
  <si>
    <t xml:space="preserve">Total FGTS apurado recibos s/CS</t>
  </si>
  <si>
    <t xml:space="preserve">VALOR RECOLHIDO - GRRF</t>
  </si>
  <si>
    <t xml:space="preserve">Total FGTS recolhido s/CS</t>
  </si>
  <si>
    <t xml:space="preserve">Base de calc. FGTS sem 13º</t>
  </si>
  <si>
    <t xml:space="preserve">Base de calc. FGTS 13º</t>
  </si>
  <si>
    <t xml:space="preserve">DARF - IR</t>
  </si>
  <si>
    <t xml:space="preserve">IRRF Férias</t>
  </si>
  <si>
    <t xml:space="preserve">IRRF Rescisão</t>
  </si>
  <si>
    <t xml:space="preserve">IRRF Sócio</t>
  </si>
  <si>
    <t xml:space="preserve">IRRF Autônomo</t>
  </si>
  <si>
    <t xml:space="preserve">PIS</t>
  </si>
  <si>
    <t xml:space="preserve">Base PIS Folha</t>
  </si>
  <si>
    <t xml:space="preserve">PIS Folha</t>
  </si>
  <si>
    <t xml:space="preserve">CONTRIBUIÇÕES</t>
  </si>
  <si>
    <t xml:space="preserve">Contrib. Confederativa</t>
  </si>
  <si>
    <t xml:space="preserve">Contrib. Sindical</t>
  </si>
  <si>
    <t xml:space="preserve">Contrib. Assistencial</t>
  </si>
  <si>
    <t xml:space="preserve">Contrib. Social s/ FGTS</t>
  </si>
  <si>
    <t xml:space="preserve">BASES DE CÁLCULO</t>
  </si>
  <si>
    <t xml:space="preserve">Base Empregados</t>
  </si>
  <si>
    <t xml:space="preserve">Base Sócios</t>
  </si>
  <si>
    <t xml:space="preserve">Base Autônomos</t>
  </si>
  <si>
    <t xml:space="preserve">Empresa Sócios</t>
  </si>
  <si>
    <t xml:space="preserve">Empresa Autônomos</t>
  </si>
  <si>
    <t xml:space="preserve">Terceiros Carreteiro</t>
  </si>
  <si>
    <t xml:space="preserve">RAT</t>
  </si>
  <si>
    <t xml:space="preserve">5,80 %</t>
  </si>
  <si>
    <t xml:space="preserve">FAP</t>
  </si>
  <si>
    <t xml:space="preserve">3,0000 %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</si>
</sst>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4472C4"/>
        <bgColor rgb="FF366092"/>
      </patternFill>
    </fill>
    <fill>
      <patternFill patternType="solid">
        <fgColor rgb="FF70AD47"/>
        <bgColor rgb="FF339966"/>
      </patternFill>
    </fill>
    <fill>
      <patternFill patternType="solid">
        <fgColor rgb="FFC6E0B4"/>
        <bgColor rgb="FFE7E6E6"/>
      </patternFill>
    </fill>
    <fill>
      <patternFill patternType="solid">
        <fgColor rgb="FFE7E6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8" customFormat="false" ht="15" hidden="false" customHeight="false" outlineLevel="0" collapsed="false">
      <c r="A8" s="3" t="s">
        <v>5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5" t="n">
        <v>10501.66</v>
      </c>
      <c r="D10" s="5" t="n">
        <v>0</v>
      </c>
      <c r="E10" s="5" t="n">
        <v>0</v>
      </c>
      <c r="F10" s="5" t="n">
        <v>10501.66</v>
      </c>
    </row>
    <row r="11" customFormat="false" ht="15" hidden="false" customHeight="false" outlineLevel="0" collapsed="false">
      <c r="A11" s="0" t="s">
        <v>14</v>
      </c>
      <c r="B11" s="0" t="s">
        <v>15</v>
      </c>
      <c r="C11" s="5" t="n">
        <v>1402.18</v>
      </c>
      <c r="D11" s="5" t="n">
        <v>0</v>
      </c>
      <c r="E11" s="5" t="n">
        <v>0</v>
      </c>
      <c r="F11" s="5" t="n">
        <v>1402.18</v>
      </c>
    </row>
    <row r="12" customFormat="false" ht="15" hidden="false" customHeight="false" outlineLevel="0" collapsed="false">
      <c r="A12" s="0" t="s">
        <v>16</v>
      </c>
      <c r="B12" s="0" t="s">
        <v>17</v>
      </c>
      <c r="C12" s="5" t="n">
        <v>442.94</v>
      </c>
      <c r="D12" s="5" t="n">
        <v>0</v>
      </c>
      <c r="E12" s="5" t="n">
        <v>0</v>
      </c>
      <c r="F12" s="5" t="n">
        <v>442.94</v>
      </c>
    </row>
    <row r="13" customFormat="false" ht="15" hidden="false" customHeight="false" outlineLevel="0" collapsed="false">
      <c r="A13" s="0" t="s">
        <v>18</v>
      </c>
      <c r="B13" s="0" t="s">
        <v>19</v>
      </c>
      <c r="C13" s="5" t="n">
        <v>85.18</v>
      </c>
      <c r="D13" s="5" t="n">
        <v>0</v>
      </c>
      <c r="E13" s="5" t="n">
        <v>0</v>
      </c>
      <c r="F13" s="5" t="n">
        <v>85.18</v>
      </c>
    </row>
    <row r="14" customFormat="false" ht="15" hidden="false" customHeight="false" outlineLevel="0" collapsed="false">
      <c r="A14" s="0" t="s">
        <v>20</v>
      </c>
      <c r="B14" s="0" t="s">
        <v>21</v>
      </c>
      <c r="C14" s="5" t="n">
        <v>868</v>
      </c>
      <c r="D14" s="5" t="n">
        <v>0</v>
      </c>
      <c r="E14" s="5" t="n">
        <v>0</v>
      </c>
      <c r="F14" s="5" t="n">
        <v>868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5" t="n">
        <v>165.02</v>
      </c>
      <c r="D15" s="5" t="n">
        <v>0</v>
      </c>
      <c r="E15" s="5" t="n">
        <v>0</v>
      </c>
      <c r="F15" s="5" t="n">
        <v>165.02</v>
      </c>
    </row>
    <row r="16" customFormat="false" ht="15" hidden="false" customHeight="false" outlineLevel="0" collapsed="false">
      <c r="A16" s="0" t="s">
        <v>24</v>
      </c>
      <c r="B16" s="0" t="s">
        <v>25</v>
      </c>
      <c r="C16" s="5" t="n">
        <v>3814.66</v>
      </c>
      <c r="D16" s="5" t="n">
        <v>0</v>
      </c>
      <c r="E16" s="5" t="n">
        <v>0</v>
      </c>
      <c r="F16" s="5" t="n">
        <v>3814.66</v>
      </c>
    </row>
    <row r="17" customFormat="false" ht="15" hidden="false" customHeight="false" outlineLevel="0" collapsed="false">
      <c r="A17" s="0" t="s">
        <v>26</v>
      </c>
      <c r="B17" s="0" t="s">
        <v>27</v>
      </c>
      <c r="C17" s="5" t="n">
        <v>1091.22</v>
      </c>
      <c r="D17" s="5" t="n">
        <v>0</v>
      </c>
      <c r="E17" s="5" t="n">
        <v>0</v>
      </c>
      <c r="F17" s="5" t="n">
        <v>1091.22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5" t="n">
        <v>209.85</v>
      </c>
      <c r="D18" s="5" t="n">
        <v>0</v>
      </c>
      <c r="E18" s="5" t="n">
        <v>0</v>
      </c>
      <c r="F18" s="5" t="n">
        <v>209.85</v>
      </c>
    </row>
    <row r="19" customFormat="false" ht="15" hidden="false" customHeight="false" outlineLevel="0" collapsed="false">
      <c r="A19" s="0" t="s">
        <v>30</v>
      </c>
      <c r="B19" s="0" t="s">
        <v>31</v>
      </c>
      <c r="C19" s="5" t="n">
        <v>31.73</v>
      </c>
      <c r="D19" s="5" t="n">
        <v>0</v>
      </c>
      <c r="E19" s="5" t="n">
        <v>0</v>
      </c>
      <c r="F19" s="5" t="n">
        <v>31.73</v>
      </c>
    </row>
    <row r="20" customFormat="false" ht="15" hidden="false" customHeight="false" outlineLevel="0" collapsed="false">
      <c r="B20" s="6" t="s">
        <v>32</v>
      </c>
      <c r="C20" s="7" t="n">
        <f aca="false">SUM(C10:C19)</f>
        <v>18612.44</v>
      </c>
      <c r="D20" s="7" t="n">
        <f aca="false">SUM(D10:D19)</f>
        <v>0</v>
      </c>
      <c r="E20" s="7" t="n">
        <f aca="false">SUM(E10:E19)</f>
        <v>0</v>
      </c>
      <c r="F20" s="7" t="n">
        <f aca="false">SUM(F10:F19)</f>
        <v>18612.44</v>
      </c>
    </row>
    <row r="22" customFormat="false" ht="15" hidden="false" customHeight="false" outlineLevel="0" collapsed="false">
      <c r="A22" s="0" t="s">
        <v>33</v>
      </c>
      <c r="B22" s="0" t="s">
        <v>34</v>
      </c>
      <c r="C22" s="5" t="n">
        <v>33.46</v>
      </c>
      <c r="D22" s="5" t="n">
        <v>0</v>
      </c>
      <c r="E22" s="5" t="n">
        <v>0</v>
      </c>
      <c r="F22" s="5" t="n">
        <v>33.46</v>
      </c>
    </row>
    <row r="23" customFormat="false" ht="15" hidden="false" customHeight="false" outlineLevel="0" collapsed="false">
      <c r="A23" s="0" t="s">
        <v>35</v>
      </c>
      <c r="B23" s="0" t="s">
        <v>36</v>
      </c>
      <c r="C23" s="5" t="n">
        <v>572.2</v>
      </c>
      <c r="D23" s="5" t="n">
        <v>0</v>
      </c>
      <c r="E23" s="5" t="n">
        <v>0</v>
      </c>
      <c r="F23" s="5" t="n">
        <v>572.2</v>
      </c>
    </row>
    <row r="24" customFormat="false" ht="15" hidden="false" customHeight="false" outlineLevel="0" collapsed="false">
      <c r="A24" s="0" t="s">
        <v>37</v>
      </c>
      <c r="B24" s="0" t="s">
        <v>38</v>
      </c>
      <c r="C24" s="5" t="n">
        <v>3814.66</v>
      </c>
      <c r="D24" s="5" t="n">
        <v>0</v>
      </c>
      <c r="E24" s="5" t="n">
        <v>0</v>
      </c>
      <c r="F24" s="5" t="n">
        <v>3814.66</v>
      </c>
    </row>
    <row r="25" customFormat="false" ht="15" hidden="false" customHeight="false" outlineLevel="0" collapsed="false">
      <c r="A25" s="0" t="s">
        <v>39</v>
      </c>
      <c r="B25" s="0" t="s">
        <v>40</v>
      </c>
      <c r="C25" s="5" t="n">
        <v>78.55</v>
      </c>
      <c r="D25" s="5" t="n">
        <v>0</v>
      </c>
      <c r="E25" s="5" t="n">
        <v>0</v>
      </c>
      <c r="F25" s="5" t="n">
        <v>78.55</v>
      </c>
    </row>
    <row r="26" customFormat="false" ht="15" hidden="false" customHeight="false" outlineLevel="0" collapsed="false">
      <c r="A26" s="0" t="s">
        <v>41</v>
      </c>
      <c r="B26" s="0" t="s">
        <v>42</v>
      </c>
      <c r="C26" s="5" t="n">
        <v>47.13</v>
      </c>
      <c r="D26" s="5" t="n">
        <v>0</v>
      </c>
      <c r="E26" s="5" t="n">
        <v>0</v>
      </c>
      <c r="F26" s="5" t="n">
        <v>47.13</v>
      </c>
    </row>
    <row r="27" customFormat="false" ht="15" hidden="false" customHeight="false" outlineLevel="0" collapsed="false">
      <c r="A27" s="0" t="s">
        <v>43</v>
      </c>
      <c r="B27" s="0" t="s">
        <v>44</v>
      </c>
      <c r="C27" s="5" t="n">
        <v>1</v>
      </c>
      <c r="D27" s="5" t="n">
        <v>0</v>
      </c>
      <c r="E27" s="5" t="n">
        <v>0</v>
      </c>
      <c r="F27" s="5" t="n">
        <v>1</v>
      </c>
    </row>
    <row r="28" customFormat="false" ht="15" hidden="false" customHeight="false" outlineLevel="0" collapsed="false">
      <c r="A28" s="0" t="s">
        <v>45</v>
      </c>
      <c r="B28" s="0" t="s">
        <v>46</v>
      </c>
      <c r="C28" s="5" t="n">
        <v>1224.78</v>
      </c>
      <c r="D28" s="5" t="n">
        <v>0</v>
      </c>
      <c r="E28" s="5" t="n">
        <v>0</v>
      </c>
      <c r="F28" s="5" t="n">
        <v>1224.78</v>
      </c>
    </row>
    <row r="29" customFormat="false" ht="15" hidden="false" customHeight="false" outlineLevel="0" collapsed="false">
      <c r="A29" s="0" t="s">
        <v>47</v>
      </c>
      <c r="B29" s="0" t="s">
        <v>48</v>
      </c>
      <c r="C29" s="5" t="n">
        <v>286.98</v>
      </c>
      <c r="D29" s="5" t="n">
        <v>0</v>
      </c>
      <c r="E29" s="5" t="n">
        <v>0</v>
      </c>
      <c r="F29" s="5" t="n">
        <v>286.98</v>
      </c>
    </row>
    <row r="30" customFormat="false" ht="15" hidden="false" customHeight="false" outlineLevel="0" collapsed="false">
      <c r="B30" s="6" t="s">
        <v>49</v>
      </c>
      <c r="C30" s="7" t="n">
        <f aca="false">SUM(C22:C29)</f>
        <v>6058.76</v>
      </c>
      <c r="D30" s="7" t="n">
        <f aca="false">SUM(D22:D29)</f>
        <v>0</v>
      </c>
      <c r="E30" s="7" t="n">
        <f aca="false">SUM(E22:E29)</f>
        <v>0</v>
      </c>
      <c r="F30" s="7" t="n">
        <f aca="false">SUM(F22:F29)</f>
        <v>6058.76</v>
      </c>
    </row>
    <row r="32" customFormat="false" ht="15" hidden="false" customHeight="false" outlineLevel="0" collapsed="false">
      <c r="B32" s="8" t="s">
        <v>50</v>
      </c>
      <c r="C32" s="9" t="n">
        <v>12553.68</v>
      </c>
    </row>
    <row r="33" customFormat="false" ht="15" hidden="false" customHeight="false" outlineLevel="0" collapsed="false">
      <c r="B33" s="6" t="s">
        <v>51</v>
      </c>
      <c r="C33" s="0" t="n">
        <v>5</v>
      </c>
    </row>
    <row r="36" customFormat="false" ht="15" hidden="false" customHeight="false" outlineLevel="0" collapsed="false">
      <c r="A36" s="3" t="s">
        <v>52</v>
      </c>
      <c r="B36" s="3"/>
      <c r="C36" s="3"/>
      <c r="D36" s="3"/>
    </row>
    <row r="37" customFormat="false" ht="15" hidden="false" customHeight="false" outlineLevel="0" collapsed="false">
      <c r="A37" s="4" t="s">
        <v>6</v>
      </c>
      <c r="B37" s="4" t="s">
        <v>7</v>
      </c>
      <c r="C37" s="4" t="s">
        <v>53</v>
      </c>
      <c r="D37" s="4" t="s">
        <v>54</v>
      </c>
    </row>
    <row r="38" customFormat="false" ht="15" hidden="false" customHeight="false" outlineLevel="0" collapsed="false">
      <c r="A38" s="0" t="s">
        <v>55</v>
      </c>
      <c r="B38" s="0" t="s">
        <v>56</v>
      </c>
      <c r="C38" s="5" t="n">
        <v>0</v>
      </c>
      <c r="D38" s="5" t="n">
        <v>268768.29</v>
      </c>
    </row>
    <row r="39" customFormat="false" ht="15" hidden="false" customHeight="false" outlineLevel="0" collapsed="false">
      <c r="B39" s="6" t="s">
        <v>32</v>
      </c>
      <c r="C39" s="7" t="n">
        <v>0</v>
      </c>
      <c r="D39" s="7" t="n">
        <v>268768.29</v>
      </c>
    </row>
    <row r="41" customFormat="false" ht="15" hidden="false" customHeight="false" outlineLevel="0" collapsed="false">
      <c r="A41" s="0" t="s">
        <v>57</v>
      </c>
      <c r="B41" s="0" t="s">
        <v>58</v>
      </c>
      <c r="C41" s="5" t="n">
        <v>0</v>
      </c>
      <c r="D41" s="5" t="n">
        <v>5912.75</v>
      </c>
    </row>
    <row r="42" customFormat="false" ht="15" hidden="false" customHeight="false" outlineLevel="0" collapsed="false">
      <c r="A42" s="0" t="s">
        <v>59</v>
      </c>
      <c r="B42" s="0" t="s">
        <v>60</v>
      </c>
      <c r="C42" s="5" t="n">
        <v>0</v>
      </c>
      <c r="D42" s="5" t="n">
        <v>1343.86</v>
      </c>
    </row>
    <row r="43" customFormat="false" ht="15" hidden="false" customHeight="false" outlineLevel="0" collapsed="false">
      <c r="B43" s="6" t="s">
        <v>49</v>
      </c>
      <c r="C43" s="7" t="n">
        <v>0</v>
      </c>
      <c r="D43" s="7" t="n">
        <v>7256.61</v>
      </c>
    </row>
    <row r="45" customFormat="false" ht="15" hidden="false" customHeight="false" outlineLevel="0" collapsed="false">
      <c r="B45" s="8" t="s">
        <v>61</v>
      </c>
      <c r="D45" s="9" t="n">
        <v>261511.68</v>
      </c>
    </row>
    <row r="46" customFormat="false" ht="15" hidden="false" customHeight="false" outlineLevel="0" collapsed="false">
      <c r="B46" s="6" t="s">
        <v>62</v>
      </c>
      <c r="D46" s="0" t="n">
        <v>33</v>
      </c>
    </row>
    <row r="49" customFormat="false" ht="15" hidden="false" customHeight="false" outlineLevel="0" collapsed="false">
      <c r="A49" s="3" t="s">
        <v>63</v>
      </c>
      <c r="B49" s="3"/>
      <c r="C49" s="3"/>
      <c r="D49" s="3"/>
    </row>
    <row r="50" customFormat="false" ht="15" hidden="false" customHeight="false" outlineLevel="0" collapsed="false">
      <c r="A50" s="10" t="s">
        <v>64</v>
      </c>
    </row>
    <row r="51" customFormat="false" ht="15" hidden="false" customHeight="false" outlineLevel="0" collapsed="false">
      <c r="A51" s="0" t="s">
        <v>65</v>
      </c>
      <c r="C51" s="5" t="n">
        <v>1224.78</v>
      </c>
    </row>
    <row r="52" customFormat="false" ht="15" hidden="false" customHeight="false" outlineLevel="0" collapsed="false">
      <c r="A52" s="0" t="s">
        <v>66</v>
      </c>
      <c r="C52" s="5" t="n">
        <v>694.81</v>
      </c>
    </row>
    <row r="53" customFormat="false" ht="15" hidden="false" customHeight="false" outlineLevel="0" collapsed="false">
      <c r="A53" s="0" t="s">
        <v>67</v>
      </c>
      <c r="C53" s="5" t="n">
        <v>0</v>
      </c>
    </row>
    <row r="54" customFormat="false" ht="15" hidden="false" customHeight="false" outlineLevel="0" collapsed="false">
      <c r="A54" s="0" t="s">
        <v>68</v>
      </c>
      <c r="C54" s="5" t="n">
        <v>416.88</v>
      </c>
    </row>
    <row r="55" customFormat="false" ht="15" hidden="false" customHeight="false" outlineLevel="0" collapsed="false">
      <c r="A55" s="0" t="s">
        <v>69</v>
      </c>
      <c r="C55" s="5" t="n">
        <v>805.98</v>
      </c>
    </row>
    <row r="56" customFormat="false" ht="15" hidden="false" customHeight="false" outlineLevel="0" collapsed="false">
      <c r="A56" s="0" t="s">
        <v>70</v>
      </c>
      <c r="C56" s="5" t="n">
        <v>0</v>
      </c>
    </row>
    <row r="57" customFormat="false" ht="15" hidden="false" customHeight="false" outlineLevel="0" collapsed="false">
      <c r="A57" s="0" t="s">
        <v>71</v>
      </c>
      <c r="C57" s="5" t="n">
        <v>5912.75</v>
      </c>
    </row>
    <row r="58" customFormat="false" ht="15" hidden="false" customHeight="false" outlineLevel="0" collapsed="false">
      <c r="A58" s="0" t="s">
        <v>72</v>
      </c>
      <c r="C58" s="5" t="n">
        <v>0</v>
      </c>
    </row>
    <row r="59" customFormat="false" ht="15" hidden="false" customHeight="false" outlineLevel="0" collapsed="false">
      <c r="A59" s="0" t="s">
        <v>73</v>
      </c>
      <c r="C59" s="5" t="n">
        <v>0</v>
      </c>
    </row>
    <row r="60" customFormat="false" ht="15" hidden="false" customHeight="false" outlineLevel="0" collapsed="false">
      <c r="A60" s="0" t="s">
        <v>74</v>
      </c>
      <c r="C60" s="5" t="n">
        <v>0</v>
      </c>
    </row>
    <row r="61" customFormat="false" ht="15" hidden="false" customHeight="false" outlineLevel="0" collapsed="false">
      <c r="A61" s="0" t="s">
        <v>75</v>
      </c>
      <c r="C61" s="5" t="n">
        <v>10936.9</v>
      </c>
    </row>
    <row r="63" customFormat="false" ht="15" hidden="false" customHeight="false" outlineLevel="0" collapsed="false">
      <c r="A63" s="10" t="s">
        <v>76</v>
      </c>
    </row>
    <row r="64" customFormat="false" ht="15" hidden="false" customHeight="false" outlineLevel="0" collapsed="false">
      <c r="A64" s="0" t="s">
        <v>77</v>
      </c>
      <c r="C64" s="5" t="n">
        <v>1111.68</v>
      </c>
    </row>
    <row r="65" customFormat="false" ht="15" hidden="false" customHeight="false" outlineLevel="0" collapsed="false">
      <c r="A65" s="0" t="s">
        <v>78</v>
      </c>
      <c r="C65" s="5" t="n">
        <v>0</v>
      </c>
    </row>
    <row r="66" customFormat="false" ht="15" hidden="false" customHeight="false" outlineLevel="0" collapsed="false">
      <c r="A66" s="0" t="s">
        <v>79</v>
      </c>
      <c r="C66" s="5" t="n">
        <v>0</v>
      </c>
    </row>
    <row r="67" customFormat="false" ht="15" hidden="false" customHeight="false" outlineLevel="0" collapsed="false">
      <c r="A67" s="0" t="s">
        <v>80</v>
      </c>
      <c r="C67" s="5" t="n">
        <v>0</v>
      </c>
    </row>
    <row r="68" customFormat="false" ht="15" hidden="false" customHeight="false" outlineLevel="0" collapsed="false">
      <c r="A68" s="0" t="s">
        <v>81</v>
      </c>
      <c r="C68" s="5" t="n">
        <v>1111.68</v>
      </c>
    </row>
    <row r="69" customFormat="false" ht="15" hidden="false" customHeight="false" outlineLevel="0" collapsed="false">
      <c r="A69" s="0" t="s">
        <v>82</v>
      </c>
      <c r="C69" s="5" t="n">
        <v>13896.32</v>
      </c>
    </row>
    <row r="70" customFormat="false" ht="15" hidden="false" customHeight="false" outlineLevel="0" collapsed="false">
      <c r="A70" s="0" t="s">
        <v>83</v>
      </c>
      <c r="C70" s="5" t="n">
        <v>0</v>
      </c>
    </row>
    <row r="72" customFormat="false" ht="15" hidden="false" customHeight="false" outlineLevel="0" collapsed="false">
      <c r="A72" s="10" t="s">
        <v>84</v>
      </c>
    </row>
    <row r="73" customFormat="false" ht="15" hidden="false" customHeight="false" outlineLevel="0" collapsed="false">
      <c r="A73" s="0" t="s">
        <v>48</v>
      </c>
      <c r="C73" s="5" t="n">
        <v>286.98</v>
      </c>
    </row>
    <row r="74" customFormat="false" ht="15" hidden="false" customHeight="false" outlineLevel="0" collapsed="false">
      <c r="A74" s="0" t="s">
        <v>85</v>
      </c>
      <c r="C74" s="5" t="n">
        <v>0</v>
      </c>
    </row>
    <row r="75" customFormat="false" ht="15" hidden="false" customHeight="false" outlineLevel="0" collapsed="false">
      <c r="A75" s="0" t="s">
        <v>86</v>
      </c>
      <c r="C75" s="5" t="n">
        <v>0</v>
      </c>
    </row>
    <row r="76" customFormat="false" ht="15" hidden="false" customHeight="false" outlineLevel="0" collapsed="false">
      <c r="A76" s="0" t="s">
        <v>87</v>
      </c>
      <c r="C76" s="5" t="n">
        <v>0</v>
      </c>
    </row>
    <row r="77" customFormat="false" ht="15" hidden="false" customHeight="false" outlineLevel="0" collapsed="false">
      <c r="A77" s="0" t="s">
        <v>88</v>
      </c>
      <c r="C77" s="5" t="n">
        <v>287.53</v>
      </c>
    </row>
    <row r="79" customFormat="false" ht="15" hidden="false" customHeight="false" outlineLevel="0" collapsed="false">
      <c r="A79" s="10" t="s">
        <v>89</v>
      </c>
    </row>
    <row r="80" customFormat="false" ht="15" hidden="false" customHeight="false" outlineLevel="0" collapsed="false">
      <c r="A80" s="0" t="s">
        <v>90</v>
      </c>
      <c r="C80" s="5" t="n">
        <v>13086.72</v>
      </c>
    </row>
    <row r="81" customFormat="false" ht="15" hidden="false" customHeight="false" outlineLevel="0" collapsed="false">
      <c r="A81" s="0" t="s">
        <v>91</v>
      </c>
      <c r="C81" s="5" t="n">
        <v>443.84</v>
      </c>
    </row>
    <row r="83" customFormat="false" ht="15" hidden="false" customHeight="false" outlineLevel="0" collapsed="false">
      <c r="A83" s="10" t="s">
        <v>92</v>
      </c>
    </row>
    <row r="84" customFormat="false" ht="15" hidden="false" customHeight="false" outlineLevel="0" collapsed="false">
      <c r="A84" s="0" t="s">
        <v>93</v>
      </c>
      <c r="C84" s="5" t="n">
        <v>0</v>
      </c>
    </row>
    <row r="85" customFormat="false" ht="15" hidden="false" customHeight="false" outlineLevel="0" collapsed="false">
      <c r="A85" s="0" t="s">
        <v>94</v>
      </c>
      <c r="C85" s="5" t="n">
        <v>0</v>
      </c>
    </row>
    <row r="86" customFormat="false" ht="15" hidden="false" customHeight="false" outlineLevel="0" collapsed="false">
      <c r="A86" s="0" t="s">
        <v>95</v>
      </c>
      <c r="C86" s="5" t="n">
        <v>0</v>
      </c>
    </row>
    <row r="87" customFormat="false" ht="15" hidden="false" customHeight="false" outlineLevel="0" collapsed="false">
      <c r="A87" s="0" t="s">
        <v>96</v>
      </c>
      <c r="C87" s="5" t="n">
        <v>0</v>
      </c>
    </row>
    <row r="89" customFormat="false" ht="15" hidden="false" customHeight="false" outlineLevel="0" collapsed="false">
      <c r="A89" s="10" t="s">
        <v>97</v>
      </c>
    </row>
    <row r="90" customFormat="false" ht="15" hidden="false" customHeight="false" outlineLevel="0" collapsed="false">
      <c r="A90" s="0" t="s">
        <v>98</v>
      </c>
      <c r="C90" s="5" t="n">
        <v>13896.32</v>
      </c>
    </row>
    <row r="91" customFormat="false" ht="15" hidden="false" customHeight="false" outlineLevel="0" collapsed="false">
      <c r="A91" s="0" t="s">
        <v>99</v>
      </c>
      <c r="C91" s="5" t="n">
        <v>0</v>
      </c>
    </row>
    <row r="92" customFormat="false" ht="15" hidden="false" customHeight="false" outlineLevel="0" collapsed="false">
      <c r="A92" s="0" t="s">
        <v>100</v>
      </c>
      <c r="C92" s="5" t="n">
        <v>53753.65</v>
      </c>
    </row>
    <row r="93" customFormat="false" ht="15" hidden="false" customHeight="false" outlineLevel="0" collapsed="false">
      <c r="A93" s="0" t="s">
        <v>66</v>
      </c>
      <c r="C93" s="5" t="n">
        <v>694.81</v>
      </c>
    </row>
    <row r="94" customFormat="false" ht="15" hidden="false" customHeight="false" outlineLevel="0" collapsed="false">
      <c r="A94" s="0" t="s">
        <v>101</v>
      </c>
      <c r="C94" s="5" t="n">
        <v>0</v>
      </c>
    </row>
    <row r="95" customFormat="false" ht="15" hidden="false" customHeight="false" outlineLevel="0" collapsed="false">
      <c r="A95" s="0" t="s">
        <v>102</v>
      </c>
      <c r="C95" s="5" t="n">
        <v>2687.68</v>
      </c>
    </row>
    <row r="96" customFormat="false" ht="15" hidden="false" customHeight="false" outlineLevel="0" collapsed="false">
      <c r="A96" s="0" t="s">
        <v>103</v>
      </c>
      <c r="C96" s="5" t="n">
        <v>1343.84</v>
      </c>
    </row>
    <row r="98" customFormat="false" ht="15" hidden="false" customHeight="false" outlineLevel="0" collapsed="false">
      <c r="A98" s="10" t="s">
        <v>63</v>
      </c>
    </row>
    <row r="99" customFormat="false" ht="15" hidden="false" customHeight="false" outlineLevel="0" collapsed="false">
      <c r="A99" s="0" t="s">
        <v>104</v>
      </c>
      <c r="C99" s="0" t="s">
        <v>105</v>
      </c>
    </row>
    <row r="100" customFormat="false" ht="15" hidden="false" customHeight="false" outlineLevel="0" collapsed="false">
      <c r="A100" s="0" t="s">
        <v>106</v>
      </c>
      <c r="C100" s="0" t="s">
        <v>107</v>
      </c>
    </row>
  </sheetData>
  <mergeCells count="3">
    <mergeCell ref="A8:F8"/>
    <mergeCell ref="A36:D36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2025-11-03T16:32:42Z</dcterms:created>
  <dc:creator>openpyxl</dc:creator>
  <dc:description/>
  <dc:language>en-US</dc:language>
  <cp:lastModifiedBy/>
  <dcterms:modified xsi:type="dcterms:W3CDTF">2025-11-03T16:32:42Z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